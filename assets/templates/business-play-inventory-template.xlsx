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ventory Data" sheetId="2" state="visible" r:id="rId2"/>
    <sheet xmlns:r="http://schemas.openxmlformats.org/officeDocument/2006/relationships" name="OS Score" sheetId="3" state="visible" r:id="rId3"/>
    <sheet xmlns:r="http://schemas.openxmlformats.org/officeDocument/2006/relationships" name="Procurement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9A6E1A"/>
      <sz val="10"/>
    </font>
    <font>
      <name val="Arial"/>
      <color rgb="002D2D2D"/>
      <sz val="10"/>
    </font>
    <font>
      <name val="Arial"/>
      <b val="1"/>
      <color rgb="00FFFFFF"/>
      <sz val="13"/>
    </font>
    <font>
      <name val="Arial"/>
      <color rgb="000000FF"/>
      <sz val="12"/>
    </font>
    <font>
      <name val="Arial"/>
      <i val="1"/>
      <color rgb="006B6B6B"/>
      <sz val="9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color rgb="006B6B6B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008000"/>
      <sz val="10"/>
    </font>
    <font>
      <name val="Arial"/>
      <b val="1"/>
      <color rgb="00000000"/>
      <sz val="10"/>
    </font>
    <font>
      <name val="Arial"/>
      <b val="1"/>
      <color rgb="00FFFFFF"/>
      <sz val="12"/>
    </font>
    <font>
      <name val="Arial"/>
      <b val="1"/>
      <color rgb="00FFFFFF"/>
      <sz val="16"/>
    </font>
    <font>
      <name val="Arial"/>
      <i val="1"/>
      <color rgb="006B6B6B"/>
      <sz val="8"/>
    </font>
  </fonts>
  <fills count="10">
    <fill>
      <patternFill/>
    </fill>
    <fill>
      <patternFill patternType="gray125"/>
    </fill>
    <fill>
      <patternFill patternType="solid">
        <fgColor rgb="00C8972A"/>
      </patternFill>
    </fill>
    <fill>
      <patternFill patternType="solid">
        <fgColor rgb="00FFF0B3"/>
      </patternFill>
    </fill>
    <fill>
      <patternFill patternType="solid">
        <fgColor rgb="002D2D2D"/>
      </patternFill>
    </fill>
    <fill>
      <patternFill patternType="solid">
        <fgColor rgb="009A6E1A"/>
      </patternFill>
    </fill>
    <fill>
      <patternFill patternType="solid">
        <fgColor rgb="004A7C59"/>
      </patternFill>
    </fill>
    <fill>
      <patternFill patternType="solid">
        <fgColor rgb="008B3A3A"/>
      </patternFill>
    </fill>
    <fill>
      <patternFill patternType="solid">
        <fgColor rgb="00FFFFFF"/>
      </patternFill>
    </fill>
    <fill>
      <patternFill patternType="solid">
        <fgColor rgb="00FFF8E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4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/>
    </xf>
    <xf numFmtId="4" fontId="10" fillId="3" borderId="1" applyAlignment="1" pivotButton="0" quotePrefix="0" xfId="0">
      <alignment horizontal="right" vertical="center"/>
    </xf>
    <xf numFmtId="4" fontId="11" fillId="8" borderId="1" applyAlignment="1" pivotButton="0" quotePrefix="0" xfId="0">
      <alignment horizontal="right" vertical="center"/>
    </xf>
    <xf numFmtId="164" fontId="11" fillId="8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right" vertical="center"/>
    </xf>
    <xf numFmtId="0" fontId="11" fillId="8" borderId="1" applyAlignment="1" pivotButton="0" quotePrefix="0" xfId="0">
      <alignment horizontal="center" vertical="center" wrapText="1"/>
    </xf>
    <xf numFmtId="4" fontId="11" fillId="9" borderId="1" applyAlignment="1" pivotButton="0" quotePrefix="0" xfId="0">
      <alignment horizontal="right" vertical="center"/>
    </xf>
    <xf numFmtId="164" fontId="11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4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164" fontId="13" fillId="9" borderId="1" applyAlignment="1" pivotButton="0" quotePrefix="0" xfId="0">
      <alignment horizontal="right" vertical="center"/>
    </xf>
    <xf numFmtId="165" fontId="14" fillId="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1" fontId="10" fillId="3" borderId="1" applyAlignment="1" pivotButton="0" quotePrefix="0" xfId="0">
      <alignment horizontal="center" vertical="center" wrapText="1"/>
    </xf>
    <xf numFmtId="165" fontId="13" fillId="3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165" fontId="16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17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5" customWidth="1" min="2" max="2"/>
  </cols>
  <sheetData>
    <row r="1" ht="40" customHeight="1">
      <c r="A1" s="1" t="inlineStr">
        <is>
          <t>🐪  Business Play — Inventory &amp; SKU Template</t>
        </is>
      </c>
    </row>
    <row r="3" ht="18" customHeight="1">
      <c r="A3" s="2" t="inlineStr"/>
      <c r="B3" s="3" t="inlineStr"/>
    </row>
    <row r="4" ht="18" customHeight="1">
      <c r="A4" s="2" t="inlineStr">
        <is>
          <t>PURPOSE</t>
        </is>
      </c>
      <c r="B4" s="3" t="inlineStr">
        <is>
          <t>This template calculates your Opportunity Score (OS) and</t>
        </is>
      </c>
    </row>
    <row r="5" ht="18" customHeight="1">
      <c r="A5" s="2" t="inlineStr"/>
      <c r="B5" s="3" t="inlineStr">
        <is>
          <t>runs the Golden Equilibrium procurement knapsack algorithm.</t>
        </is>
      </c>
    </row>
    <row r="6" ht="18" customHeight="1">
      <c r="A6" s="2" t="inlineStr"/>
      <c r="B6" s="3" t="inlineStr"/>
    </row>
    <row r="7" ht="18" customHeight="1">
      <c r="A7" s="2" t="inlineStr">
        <is>
          <t>HOW TO USE</t>
        </is>
      </c>
      <c r="B7" s="3" t="inlineStr">
        <is>
          <t>1.  Go to the 'Inventory Data' tab</t>
        </is>
      </c>
    </row>
    <row r="8" ht="18" customHeight="1">
      <c r="A8" s="2" t="inlineStr"/>
      <c r="B8" s="3" t="inlineStr">
        <is>
          <t>2.  Enter each SKU in a new row (blue cells = your inputs)</t>
        </is>
      </c>
    </row>
    <row r="9" ht="18" customHeight="1">
      <c r="A9" s="2" t="inlineStr"/>
      <c r="B9" s="3" t="inlineStr">
        <is>
          <t>3.  Enter your procurement budget in cell C2 of 'Inventory Data'</t>
        </is>
      </c>
    </row>
    <row r="10" ht="18" customHeight="1">
      <c r="A10" s="2" t="inlineStr"/>
      <c r="B10" s="3" t="inlineStr">
        <is>
          <t>4.  Go to 'Procurement Plan' tab to see the optimized order list</t>
        </is>
      </c>
    </row>
    <row r="11" ht="18" customHeight="1">
      <c r="A11" s="2" t="inlineStr"/>
      <c r="B11" s="3" t="inlineStr">
        <is>
          <t>5.  Go to 'OS Score' tab to see your Opportunity Score (0-100)</t>
        </is>
      </c>
    </row>
    <row r="12" ht="18" customHeight="1">
      <c r="A12" s="2" t="inlineStr"/>
      <c r="B12" s="3" t="inlineStr">
        <is>
          <t>6.  Upload this file to Business Play for instant scoring</t>
        </is>
      </c>
    </row>
    <row r="13" ht="18" customHeight="1">
      <c r="A13" s="2" t="inlineStr"/>
      <c r="B13" s="3" t="inlineStr"/>
    </row>
    <row r="14" ht="18" customHeight="1">
      <c r="A14" s="2" t="inlineStr">
        <is>
          <t>FIELDS</t>
        </is>
      </c>
      <c r="B14" s="3" t="inlineStr">
        <is>
          <t>SKU / Product ID   — unique identifier</t>
        </is>
      </c>
    </row>
    <row r="15" ht="18" customHeight="1">
      <c r="A15" s="2" t="inlineStr"/>
      <c r="B15" s="3" t="inlineStr">
        <is>
          <t>Product Name       — descriptive name</t>
        </is>
      </c>
    </row>
    <row r="16" ht="18" customHeight="1">
      <c r="A16" s="2" t="inlineStr"/>
      <c r="B16" s="3" t="inlineStr">
        <is>
          <t>Category           — product category or department</t>
        </is>
      </c>
    </row>
    <row r="17" ht="18" customHeight="1">
      <c r="A17" s="2" t="inlineStr"/>
      <c r="B17" s="3" t="inlineStr">
        <is>
          <t>Unit Cost (THB)    — your net cost to procure one unit</t>
        </is>
      </c>
    </row>
    <row r="18" ht="18" customHeight="1">
      <c r="A18" s="2" t="inlineStr"/>
      <c r="B18" s="3" t="inlineStr">
        <is>
          <t>Unit Price (THB)   — your average selling price per unit</t>
        </is>
      </c>
    </row>
    <row r="19" ht="18" customHeight="1">
      <c r="A19" s="2" t="inlineStr"/>
      <c r="B19" s="3" t="inlineStr">
        <is>
          <t>Jan Forecast       — expected demand in Month 1 (units)</t>
        </is>
      </c>
    </row>
    <row r="20" ht="18" customHeight="1">
      <c r="A20" s="2" t="inlineStr"/>
      <c r="B20" s="3" t="inlineStr">
        <is>
          <t>Total Demand       — total expected demand this period (units)</t>
        </is>
      </c>
    </row>
    <row r="21" ht="18" customHeight="1">
      <c r="A21" s="2" t="inlineStr"/>
      <c r="B21" s="3" t="inlineStr">
        <is>
          <t>Current Stock      — units currently on hand</t>
        </is>
      </c>
    </row>
    <row r="22" ht="18" customHeight="1">
      <c r="A22" s="2" t="inlineStr"/>
      <c r="B22" s="3" t="inlineStr">
        <is>
          <t>Lead Time (days)   — days from order to delivery</t>
        </is>
      </c>
    </row>
    <row r="23" ht="18" customHeight="1">
      <c r="A23" s="2" t="inlineStr"/>
      <c r="B23" s="3" t="inlineStr"/>
    </row>
    <row r="24" ht="18" customHeight="1">
      <c r="A24" s="2" t="inlineStr">
        <is>
          <t>COLOR CODE</t>
        </is>
      </c>
      <c r="B24" s="3" t="inlineStr">
        <is>
          <t>🔵 Blue  = Enter your data here</t>
        </is>
      </c>
    </row>
    <row r="25" ht="18" customHeight="1">
      <c r="A25" s="2" t="inlineStr"/>
      <c r="B25" s="3" t="inlineStr">
        <is>
          <t>⚫ Black = Auto-calculated (do not edit)</t>
        </is>
      </c>
    </row>
    <row r="26" ht="18" customHeight="1">
      <c r="A26" s="2" t="inlineStr"/>
      <c r="B26" s="3" t="inlineStr">
        <is>
          <t>🟢 Green = Linked from another sheet</t>
        </is>
      </c>
    </row>
    <row r="27" ht="18" customHeight="1">
      <c r="A27" s="2" t="inlineStr"/>
      <c r="B27" s="3" t="inlineStr"/>
    </row>
    <row r="28" ht="18" customHeight="1">
      <c r="A28" s="2" t="inlineStr">
        <is>
          <t>CONTACT</t>
        </is>
      </c>
      <c r="B28" s="3" t="inlineStr">
        <is>
          <t>📧 dithanon@powerladder.tech  |  🌐 https://www.powerladder.net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16" customWidth="1" min="4" max="4"/>
    <col width="16" customWidth="1" min="5" max="5"/>
    <col width="16" customWidth="1" min="6" max="6"/>
    <col width="14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18" customWidth="1" min="13" max="13"/>
  </cols>
  <sheetData>
    <row r="1" ht="36" customHeight="1">
      <c r="A1" s="4" t="inlineStr">
        <is>
          <t>🐪  Inventory &amp; SKU List  |  Business Play by Power Ladder</t>
        </is>
      </c>
    </row>
    <row r="2" ht="24" customHeight="1">
      <c r="A2" s="5" t="inlineStr">
        <is>
          <t>💰  Procurement Budget (Local Currency)  →</t>
        </is>
      </c>
      <c r="E2" s="6" t="n">
        <v>1000000</v>
      </c>
      <c r="F2" s="7" t="inlineStr">
        <is>
          <t>← Enter your total procurement budget. All SKU funding decisions are based on this cap.</t>
        </is>
      </c>
    </row>
    <row r="3" ht="14" customHeight="1">
      <c r="A3" s="8" t="inlineStr">
        <is>
          <t>IDENTIFICATION</t>
        </is>
      </c>
      <c r="E3" s="9" t="inlineStr">
        <is>
          <t>ECONOMICS</t>
        </is>
      </c>
      <c r="I3" s="10" t="inlineStr">
        <is>
          <t>DEMAND</t>
        </is>
      </c>
      <c r="M3" s="11" t="inlineStr">
        <is>
          <t>STATUS</t>
        </is>
      </c>
    </row>
    <row r="4" ht="30" customHeight="1">
      <c r="A4" s="12" t="inlineStr">
        <is>
          <t>#</t>
        </is>
      </c>
      <c r="B4" s="12" t="inlineStr">
        <is>
          <t>SKU / Product ID</t>
        </is>
      </c>
      <c r="C4" s="12" t="inlineStr">
        <is>
          <t>Product Name</t>
        </is>
      </c>
      <c r="D4" s="12" t="inlineStr">
        <is>
          <t>Category</t>
        </is>
      </c>
      <c r="E4" s="12" t="inlineStr">
        <is>
          <t>Unit Cost</t>
        </is>
      </c>
      <c r="F4" s="12" t="inlineStr">
        <is>
          <t>Unit Price</t>
        </is>
      </c>
      <c r="G4" s="12" t="inlineStr">
        <is>
          <t>Unit Margin</t>
        </is>
      </c>
      <c r="H4" s="12" t="inlineStr">
        <is>
          <t>ROI %</t>
        </is>
      </c>
      <c r="I4" s="12" t="inlineStr">
        <is>
          <t>Jan Forecast
(Units)</t>
        </is>
      </c>
      <c r="J4" s="12" t="inlineStr">
        <is>
          <t>Total Demand
(Units)</t>
        </is>
      </c>
      <c r="K4" s="12" t="inlineStr">
        <is>
          <t>Current Stock
(Units)</t>
        </is>
      </c>
      <c r="L4" s="12" t="inlineStr">
        <is>
          <t>Lead Time
(Days)</t>
        </is>
      </c>
      <c r="M4" s="12" t="inlineStr">
        <is>
          <t>Funding Status</t>
        </is>
      </c>
    </row>
    <row r="5" ht="20" customHeight="1">
      <c r="A5" s="13" t="n">
        <v>1</v>
      </c>
      <c r="B5" s="14" t="inlineStr">
        <is>
          <t>SKU-001</t>
        </is>
      </c>
      <c r="C5" s="14" t="inlineStr">
        <is>
          <t>Product A</t>
        </is>
      </c>
      <c r="D5" s="14" t="inlineStr">
        <is>
          <t>Category 1</t>
        </is>
      </c>
      <c r="E5" s="15" t="n">
        <v>150</v>
      </c>
      <c r="F5" s="15" t="n">
        <v>280</v>
      </c>
      <c r="G5" s="16">
        <f>F5-E5</f>
        <v/>
      </c>
      <c r="H5" s="17">
        <f>IF(E5&lt;&gt;0,(F5-E5)/E5,0)</f>
        <v/>
      </c>
      <c r="I5" s="18" t="n">
        <v>10</v>
      </c>
      <c r="J5" s="18" t="n">
        <v>25</v>
      </c>
      <c r="K5" s="18" t="n">
        <v>30</v>
      </c>
      <c r="L5" s="18" t="n">
        <v>7</v>
      </c>
      <c r="M5" s="19">
        <f>IF(E5*J5=0,"—",IF(G5/E5&lt;0.15,"🚨 CASH TRAP","✅ FUNDED"))</f>
        <v/>
      </c>
    </row>
    <row r="6" ht="20" customHeight="1">
      <c r="A6" s="13" t="n">
        <v>2</v>
      </c>
      <c r="B6" s="14" t="inlineStr">
        <is>
          <t>SKU-002</t>
        </is>
      </c>
      <c r="C6" s="14" t="inlineStr">
        <is>
          <t>Product B</t>
        </is>
      </c>
      <c r="D6" s="14" t="inlineStr">
        <is>
          <t>Category 1</t>
        </is>
      </c>
      <c r="E6" s="15" t="n">
        <v>320</v>
      </c>
      <c r="F6" s="15" t="n">
        <v>550</v>
      </c>
      <c r="G6" s="20">
        <f>F6-E6</f>
        <v/>
      </c>
      <c r="H6" s="21">
        <f>IF(E6&lt;&gt;0,(F6-E6)/E6,0)</f>
        <v/>
      </c>
      <c r="I6" s="18" t="n">
        <v>20</v>
      </c>
      <c r="J6" s="18" t="n">
        <v>50</v>
      </c>
      <c r="K6" s="18" t="n">
        <v>15</v>
      </c>
      <c r="L6" s="18" t="n">
        <v>14</v>
      </c>
      <c r="M6" s="22">
        <f>IF(E6*J6=0,"—",IF(G6/E6&lt;0.15,"🚨 CASH TRAP","✅ FUNDED"))</f>
        <v/>
      </c>
    </row>
    <row r="7" ht="20" customHeight="1">
      <c r="A7" s="13" t="n">
        <v>3</v>
      </c>
      <c r="B7" s="14" t="inlineStr">
        <is>
          <t>SKU-003</t>
        </is>
      </c>
      <c r="C7" s="14" t="inlineStr">
        <is>
          <t>Product C</t>
        </is>
      </c>
      <c r="D7" s="14" t="inlineStr">
        <is>
          <t>Category 2</t>
        </is>
      </c>
      <c r="E7" s="15" t="n">
        <v>80</v>
      </c>
      <c r="F7" s="15" t="n">
        <v>120</v>
      </c>
      <c r="G7" s="16">
        <f>F7-E7</f>
        <v/>
      </c>
      <c r="H7" s="17">
        <f>IF(E7&lt;&gt;0,(F7-E7)/E7,0)</f>
        <v/>
      </c>
      <c r="I7" s="18" t="n">
        <v>15</v>
      </c>
      <c r="J7" s="18" t="n">
        <v>30</v>
      </c>
      <c r="K7" s="18" t="n">
        <v>50</v>
      </c>
      <c r="L7" s="18" t="n">
        <v>5</v>
      </c>
      <c r="M7" s="19">
        <f>IF(E7*J7=0,"—",IF(G7/E7&lt;0.15,"🚨 CASH TRAP","✅ FUNDED"))</f>
        <v/>
      </c>
    </row>
    <row r="8" ht="20" customHeight="1">
      <c r="A8" s="13" t="n">
        <v>4</v>
      </c>
      <c r="B8" s="14" t="inlineStr">
        <is>
          <t>SKU-004</t>
        </is>
      </c>
      <c r="C8" s="14" t="inlineStr">
        <is>
          <t>Product D</t>
        </is>
      </c>
      <c r="D8" s="14" t="inlineStr">
        <is>
          <t>Category 2</t>
        </is>
      </c>
      <c r="E8" s="15" t="n">
        <v>500</v>
      </c>
      <c r="F8" s="15" t="n">
        <v>750</v>
      </c>
      <c r="G8" s="20">
        <f>F8-E8</f>
        <v/>
      </c>
      <c r="H8" s="21">
        <f>IF(E8&lt;&gt;0,(F8-E8)/E8,0)</f>
        <v/>
      </c>
      <c r="I8" s="18" t="n">
        <v>5</v>
      </c>
      <c r="J8" s="18" t="n">
        <v>12</v>
      </c>
      <c r="K8" s="18" t="n">
        <v>8</v>
      </c>
      <c r="L8" s="18" t="n">
        <v>21</v>
      </c>
      <c r="M8" s="22">
        <f>IF(E8*J8=0,"—",IF(G8/E8&lt;0.15,"🚨 CASH TRAP","✅ FUNDED"))</f>
        <v/>
      </c>
    </row>
    <row r="9" ht="20" customHeight="1">
      <c r="A9" s="13" t="n">
        <v>5</v>
      </c>
      <c r="B9" s="14" t="inlineStr">
        <is>
          <t>SKU-005</t>
        </is>
      </c>
      <c r="C9" s="14" t="inlineStr">
        <is>
          <t>Product E</t>
        </is>
      </c>
      <c r="D9" s="14" t="inlineStr">
        <is>
          <t>Category 3</t>
        </is>
      </c>
      <c r="E9" s="15" t="n">
        <v>45</v>
      </c>
      <c r="F9" s="15" t="n">
        <v>95</v>
      </c>
      <c r="G9" s="16">
        <f>F9-E9</f>
        <v/>
      </c>
      <c r="H9" s="17">
        <f>IF(E9&lt;&gt;0,(F9-E9)/E9,0)</f>
        <v/>
      </c>
      <c r="I9" s="18" t="n">
        <v>30</v>
      </c>
      <c r="J9" s="18" t="n">
        <v>60</v>
      </c>
      <c r="K9" s="18" t="n">
        <v>100</v>
      </c>
      <c r="L9" s="18" t="n">
        <v>3</v>
      </c>
      <c r="M9" s="19">
        <f>IF(E9*J9=0,"—",IF(G9/E9&lt;0.15,"🚨 CASH TRAP","✅ FUNDED"))</f>
        <v/>
      </c>
    </row>
    <row r="15" ht="20" customHeight="1">
      <c r="A15" s="13" t="n">
        <v>11</v>
      </c>
      <c r="B15" s="23" t="n"/>
      <c r="C15" s="23" t="n"/>
      <c r="D15" s="23" t="n"/>
      <c r="E15" s="24" t="n"/>
      <c r="F15" s="24" t="n"/>
      <c r="G15" s="16">
        <f>IF(AND(E15&lt;&gt;"",F15&lt;&gt;""),F15-E15,"")</f>
        <v/>
      </c>
      <c r="H15" s="17">
        <f>IF(AND(E15&lt;&gt;"",E15&lt;&gt;0),(F15-E15)/E15,"")</f>
        <v/>
      </c>
      <c r="I15" s="25" t="n"/>
      <c r="J15" s="25" t="n"/>
      <c r="K15" s="25" t="n"/>
      <c r="L15" s="25" t="n"/>
      <c r="M15" s="19">
        <f>IF(E15="","—",IF(G15/E15&lt;0.15,"🚨 CASH TRAP","✅ FUNDED"))</f>
        <v/>
      </c>
    </row>
    <row r="16" ht="20" customHeight="1">
      <c r="A16" s="13" t="n">
        <v>12</v>
      </c>
      <c r="B16" s="23" t="n"/>
      <c r="C16" s="23" t="n"/>
      <c r="D16" s="23" t="n"/>
      <c r="E16" s="24" t="n"/>
      <c r="F16" s="24" t="n"/>
      <c r="G16" s="20">
        <f>IF(AND(E16&lt;&gt;"",F16&lt;&gt;""),F16-E16,"")</f>
        <v/>
      </c>
      <c r="H16" s="21">
        <f>IF(AND(E16&lt;&gt;"",E16&lt;&gt;0),(F16-E16)/E16,"")</f>
        <v/>
      </c>
      <c r="I16" s="25" t="n"/>
      <c r="J16" s="25" t="n"/>
      <c r="K16" s="25" t="n"/>
      <c r="L16" s="25" t="n"/>
      <c r="M16" s="22">
        <f>IF(E16="","—",IF(G16/E16&lt;0.15,"🚨 CASH TRAP","✅ FUNDED"))</f>
        <v/>
      </c>
    </row>
    <row r="17" ht="20" customHeight="1">
      <c r="A17" s="13" t="n">
        <v>13</v>
      </c>
      <c r="B17" s="23" t="n"/>
      <c r="C17" s="23" t="n"/>
      <c r="D17" s="23" t="n"/>
      <c r="E17" s="24" t="n"/>
      <c r="F17" s="24" t="n"/>
      <c r="G17" s="16">
        <f>IF(AND(E17&lt;&gt;"",F17&lt;&gt;""),F17-E17,"")</f>
        <v/>
      </c>
      <c r="H17" s="17">
        <f>IF(AND(E17&lt;&gt;"",E17&lt;&gt;0),(F17-E17)/E17,"")</f>
        <v/>
      </c>
      <c r="I17" s="25" t="n"/>
      <c r="J17" s="25" t="n"/>
      <c r="K17" s="25" t="n"/>
      <c r="L17" s="25" t="n"/>
      <c r="M17" s="19">
        <f>IF(E17="","—",IF(G17/E17&lt;0.15,"🚨 CASH TRAP","✅ FUNDED"))</f>
        <v/>
      </c>
    </row>
    <row r="18" ht="20" customHeight="1">
      <c r="A18" s="13" t="n">
        <v>14</v>
      </c>
      <c r="B18" s="23" t="n"/>
      <c r="C18" s="23" t="n"/>
      <c r="D18" s="23" t="n"/>
      <c r="E18" s="24" t="n"/>
      <c r="F18" s="24" t="n"/>
      <c r="G18" s="20">
        <f>IF(AND(E18&lt;&gt;"",F18&lt;&gt;""),F18-E18,"")</f>
        <v/>
      </c>
      <c r="H18" s="21">
        <f>IF(AND(E18&lt;&gt;"",E18&lt;&gt;0),(F18-E18)/E18,"")</f>
        <v/>
      </c>
      <c r="I18" s="25" t="n"/>
      <c r="J18" s="25" t="n"/>
      <c r="K18" s="25" t="n"/>
      <c r="L18" s="25" t="n"/>
      <c r="M18" s="22">
        <f>IF(E18="","—",IF(G18/E18&lt;0.15,"🚨 CASH TRAP","✅ FUNDED"))</f>
        <v/>
      </c>
    </row>
    <row r="19" ht="20" customHeight="1">
      <c r="A19" s="13" t="n">
        <v>15</v>
      </c>
      <c r="B19" s="23" t="n"/>
      <c r="C19" s="23" t="n"/>
      <c r="D19" s="23" t="n"/>
      <c r="E19" s="24" t="n"/>
      <c r="F19" s="24" t="n"/>
      <c r="G19" s="16">
        <f>IF(AND(E19&lt;&gt;"",F19&lt;&gt;""),F19-E19,"")</f>
        <v/>
      </c>
      <c r="H19" s="17">
        <f>IF(AND(E19&lt;&gt;"",E19&lt;&gt;0),(F19-E19)/E19,"")</f>
        <v/>
      </c>
      <c r="I19" s="25" t="n"/>
      <c r="J19" s="25" t="n"/>
      <c r="K19" s="25" t="n"/>
      <c r="L19" s="25" t="n"/>
      <c r="M19" s="19">
        <f>IF(E19="","—",IF(G19/E19&lt;0.15,"🚨 CASH TRAP","✅ FUNDED"))</f>
        <v/>
      </c>
    </row>
    <row r="20" ht="20" customHeight="1">
      <c r="A20" s="13" t="n">
        <v>16</v>
      </c>
      <c r="B20" s="23" t="n"/>
      <c r="C20" s="23" t="n"/>
      <c r="D20" s="23" t="n"/>
      <c r="E20" s="24" t="n"/>
      <c r="F20" s="24" t="n"/>
      <c r="G20" s="20">
        <f>IF(AND(E20&lt;&gt;"",F20&lt;&gt;""),F20-E20,"")</f>
        <v/>
      </c>
      <c r="H20" s="21">
        <f>IF(AND(E20&lt;&gt;"",E20&lt;&gt;0),(F20-E20)/E20,"")</f>
        <v/>
      </c>
      <c r="I20" s="25" t="n"/>
      <c r="J20" s="25" t="n"/>
      <c r="K20" s="25" t="n"/>
      <c r="L20" s="25" t="n"/>
      <c r="M20" s="22">
        <f>IF(E20="","—",IF(G20/E20&lt;0.15,"🚨 CASH TRAP","✅ FUNDED"))</f>
        <v/>
      </c>
    </row>
    <row r="21" ht="20" customHeight="1">
      <c r="A21" s="13" t="n">
        <v>17</v>
      </c>
      <c r="B21" s="23" t="n"/>
      <c r="C21" s="23" t="n"/>
      <c r="D21" s="23" t="n"/>
      <c r="E21" s="24" t="n"/>
      <c r="F21" s="24" t="n"/>
      <c r="G21" s="16">
        <f>IF(AND(E21&lt;&gt;"",F21&lt;&gt;""),F21-E21,"")</f>
        <v/>
      </c>
      <c r="H21" s="17">
        <f>IF(AND(E21&lt;&gt;"",E21&lt;&gt;0),(F21-E21)/E21,"")</f>
        <v/>
      </c>
      <c r="I21" s="25" t="n"/>
      <c r="J21" s="25" t="n"/>
      <c r="K21" s="25" t="n"/>
      <c r="L21" s="25" t="n"/>
      <c r="M21" s="19">
        <f>IF(E21="","—",IF(G21/E21&lt;0.15,"🚨 CASH TRAP","✅ FUNDED"))</f>
        <v/>
      </c>
    </row>
    <row r="22" ht="20" customHeight="1">
      <c r="A22" s="13" t="n">
        <v>18</v>
      </c>
      <c r="B22" s="23" t="n"/>
      <c r="C22" s="23" t="n"/>
      <c r="D22" s="23" t="n"/>
      <c r="E22" s="24" t="n"/>
      <c r="F22" s="24" t="n"/>
      <c r="G22" s="20">
        <f>IF(AND(E22&lt;&gt;"",F22&lt;&gt;""),F22-E22,"")</f>
        <v/>
      </c>
      <c r="H22" s="21">
        <f>IF(AND(E22&lt;&gt;"",E22&lt;&gt;0),(F22-E22)/E22,"")</f>
        <v/>
      </c>
      <c r="I22" s="25" t="n"/>
      <c r="J22" s="25" t="n"/>
      <c r="K22" s="25" t="n"/>
      <c r="L22" s="25" t="n"/>
      <c r="M22" s="22">
        <f>IF(E22="","—",IF(G22/E22&lt;0.15,"🚨 CASH TRAP","✅ FUNDED"))</f>
        <v/>
      </c>
    </row>
    <row r="23" ht="20" customHeight="1">
      <c r="A23" s="13" t="n">
        <v>19</v>
      </c>
      <c r="B23" s="23" t="n"/>
      <c r="C23" s="23" t="n"/>
      <c r="D23" s="23" t="n"/>
      <c r="E23" s="24" t="n"/>
      <c r="F23" s="24" t="n"/>
      <c r="G23" s="16">
        <f>IF(AND(E23&lt;&gt;"",F23&lt;&gt;""),F23-E23,"")</f>
        <v/>
      </c>
      <c r="H23" s="17">
        <f>IF(AND(E23&lt;&gt;"",E23&lt;&gt;0),(F23-E23)/E23,"")</f>
        <v/>
      </c>
      <c r="I23" s="25" t="n"/>
      <c r="J23" s="25" t="n"/>
      <c r="K23" s="25" t="n"/>
      <c r="L23" s="25" t="n"/>
      <c r="M23" s="19">
        <f>IF(E23="","—",IF(G23/E23&lt;0.15,"🚨 CASH TRAP","✅ FUNDED"))</f>
        <v/>
      </c>
    </row>
    <row r="24" ht="20" customHeight="1">
      <c r="A24" s="13" t="n">
        <v>20</v>
      </c>
      <c r="B24" s="23" t="n"/>
      <c r="C24" s="23" t="n"/>
      <c r="D24" s="23" t="n"/>
      <c r="E24" s="24" t="n"/>
      <c r="F24" s="24" t="n"/>
      <c r="G24" s="20">
        <f>IF(AND(E24&lt;&gt;"",F24&lt;&gt;""),F24-E24,"")</f>
        <v/>
      </c>
      <c r="H24" s="21">
        <f>IF(AND(E24&lt;&gt;"",E24&lt;&gt;0),(F24-E24)/E24,"")</f>
        <v/>
      </c>
      <c r="I24" s="25" t="n"/>
      <c r="J24" s="25" t="n"/>
      <c r="K24" s="25" t="n"/>
      <c r="L24" s="25" t="n"/>
      <c r="M24" s="22">
        <f>IF(E24="","—",IF(G24/E24&lt;0.15,"🚨 CASH TRAP","✅ FUNDED"))</f>
        <v/>
      </c>
    </row>
    <row r="25" ht="20" customHeight="1">
      <c r="A25" s="13" t="n">
        <v>21</v>
      </c>
      <c r="B25" s="23" t="n"/>
      <c r="C25" s="23" t="n"/>
      <c r="D25" s="23" t="n"/>
      <c r="E25" s="24" t="n"/>
      <c r="F25" s="24" t="n"/>
      <c r="G25" s="16">
        <f>IF(AND(E25&lt;&gt;"",F25&lt;&gt;""),F25-E25,"")</f>
        <v/>
      </c>
      <c r="H25" s="17">
        <f>IF(AND(E25&lt;&gt;"",E25&lt;&gt;0),(F25-E25)/E25,"")</f>
        <v/>
      </c>
      <c r="I25" s="25" t="n"/>
      <c r="J25" s="25" t="n"/>
      <c r="K25" s="25" t="n"/>
      <c r="L25" s="25" t="n"/>
      <c r="M25" s="19">
        <f>IF(E25="","—",IF(G25/E25&lt;0.15,"🚨 CASH TRAP","✅ FUNDED"))</f>
        <v/>
      </c>
    </row>
    <row r="26" ht="20" customHeight="1">
      <c r="A26" s="13" t="n">
        <v>22</v>
      </c>
      <c r="B26" s="23" t="n"/>
      <c r="C26" s="23" t="n"/>
      <c r="D26" s="23" t="n"/>
      <c r="E26" s="24" t="n"/>
      <c r="F26" s="24" t="n"/>
      <c r="G26" s="20">
        <f>IF(AND(E26&lt;&gt;"",F26&lt;&gt;""),F26-E26,"")</f>
        <v/>
      </c>
      <c r="H26" s="21">
        <f>IF(AND(E26&lt;&gt;"",E26&lt;&gt;0),(F26-E26)/E26,"")</f>
        <v/>
      </c>
      <c r="I26" s="25" t="n"/>
      <c r="J26" s="25" t="n"/>
      <c r="K26" s="25" t="n"/>
      <c r="L26" s="25" t="n"/>
      <c r="M26" s="22">
        <f>IF(E26="","—",IF(G26/E26&lt;0.15,"🚨 CASH TRAP","✅ FUNDED"))</f>
        <v/>
      </c>
    </row>
    <row r="27" ht="20" customHeight="1">
      <c r="A27" s="13" t="n">
        <v>23</v>
      </c>
      <c r="B27" s="23" t="n"/>
      <c r="C27" s="23" t="n"/>
      <c r="D27" s="23" t="n"/>
      <c r="E27" s="24" t="n"/>
      <c r="F27" s="24" t="n"/>
      <c r="G27" s="16">
        <f>IF(AND(E27&lt;&gt;"",F27&lt;&gt;""),F27-E27,"")</f>
        <v/>
      </c>
      <c r="H27" s="17">
        <f>IF(AND(E27&lt;&gt;"",E27&lt;&gt;0),(F27-E27)/E27,"")</f>
        <v/>
      </c>
      <c r="I27" s="25" t="n"/>
      <c r="J27" s="25" t="n"/>
      <c r="K27" s="25" t="n"/>
      <c r="L27" s="25" t="n"/>
      <c r="M27" s="19">
        <f>IF(E27="","—",IF(G27/E27&lt;0.15,"🚨 CASH TRAP","✅ FUNDED"))</f>
        <v/>
      </c>
    </row>
    <row r="28" ht="20" customHeight="1">
      <c r="A28" s="13" t="n">
        <v>24</v>
      </c>
      <c r="B28" s="23" t="n"/>
      <c r="C28" s="23" t="n"/>
      <c r="D28" s="23" t="n"/>
      <c r="E28" s="24" t="n"/>
      <c r="F28" s="24" t="n"/>
      <c r="G28" s="20">
        <f>IF(AND(E28&lt;&gt;"",F28&lt;&gt;""),F28-E28,"")</f>
        <v/>
      </c>
      <c r="H28" s="21">
        <f>IF(AND(E28&lt;&gt;"",E28&lt;&gt;0),(F28-E28)/E28,"")</f>
        <v/>
      </c>
      <c r="I28" s="25" t="n"/>
      <c r="J28" s="25" t="n"/>
      <c r="K28" s="25" t="n"/>
      <c r="L28" s="25" t="n"/>
      <c r="M28" s="22">
        <f>IF(E28="","—",IF(G28/E28&lt;0.15,"🚨 CASH TRAP","✅ FUNDED"))</f>
        <v/>
      </c>
    </row>
    <row r="29" ht="20" customHeight="1">
      <c r="A29" s="13" t="n">
        <v>25</v>
      </c>
      <c r="B29" s="23" t="n"/>
      <c r="C29" s="23" t="n"/>
      <c r="D29" s="23" t="n"/>
      <c r="E29" s="24" t="n"/>
      <c r="F29" s="24" t="n"/>
      <c r="G29" s="16">
        <f>IF(AND(E29&lt;&gt;"",F29&lt;&gt;""),F29-E29,"")</f>
        <v/>
      </c>
      <c r="H29" s="17">
        <f>IF(AND(E29&lt;&gt;"",E29&lt;&gt;0),(F29-E29)/E29,"")</f>
        <v/>
      </c>
      <c r="I29" s="25" t="n"/>
      <c r="J29" s="25" t="n"/>
      <c r="K29" s="25" t="n"/>
      <c r="L29" s="25" t="n"/>
      <c r="M29" s="19">
        <f>IF(E29="","—",IF(G29/E29&lt;0.15,"🚨 CASH TRAP","✅ FUNDED"))</f>
        <v/>
      </c>
    </row>
  </sheetData>
  <mergeCells count="7">
    <mergeCell ref="F2:M2"/>
    <mergeCell ref="M3"/>
    <mergeCell ref="A1:M1"/>
    <mergeCell ref="E3:H3"/>
    <mergeCell ref="I3:L3"/>
    <mergeCell ref="A3:D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8" customWidth="1" min="3" max="3"/>
    <col width="22" customWidth="1" min="4" max="4"/>
    <col width="4" customWidth="1" min="5" max="5"/>
  </cols>
  <sheetData>
    <row r="1" ht="36" customHeight="1">
      <c r="A1" s="4" t="inlineStr">
        <is>
          <t>🐪  Opportunity Score (OS)  |  Golden Equilibrium</t>
        </is>
      </c>
    </row>
    <row r="2">
      <c r="B2" s="26" t="inlineStr">
        <is>
          <t>OS measures your upside potential from demand, margins, and supply reliability (0 = weak, 100 = strong)</t>
        </is>
      </c>
    </row>
    <row r="3" ht="22" customHeight="1">
      <c r="B3" s="27" t="inlineStr">
        <is>
          <t>Metric</t>
        </is>
      </c>
      <c r="C3" s="27" t="inlineStr">
        <is>
          <t>Value</t>
        </is>
      </c>
      <c r="D3" s="27" t="inlineStr">
        <is>
          <t>OS Component (0-100)</t>
        </is>
      </c>
    </row>
    <row r="4">
      <c r="B4" s="28" t="inlineStr">
        <is>
          <t xml:space="preserve">  DEMAND SIGNALS  (Weight: 40%)</t>
        </is>
      </c>
    </row>
    <row r="5" ht="20" customHeight="1">
      <c r="B5" s="29" t="inlineStr">
        <is>
          <t>Average ROI % across all SKUs</t>
        </is>
      </c>
      <c r="C5" s="30">
        <f>IF(COUNTA('Inventory Data'!E5:E29)&gt;0,AVERAGEIF('Inventory Data'!E5:E29,"&gt;0",'Inventory Data'!H5:H29),0)</f>
        <v/>
      </c>
      <c r="D5" s="31">
        <f>MIN(100, MAX(0, C4*200))</f>
        <v/>
      </c>
    </row>
    <row r="6" ht="20" customHeight="1">
      <c r="B6" s="29" t="inlineStr">
        <is>
          <t>Inventory Fill Rate  (Current Stock ÷ Total Demand)</t>
        </is>
      </c>
      <c r="C6" s="30">
        <f>IF(SUM('Inventory Data'!J5:J29)&gt;0,SUM('Inventory Data'!K5:K29)/SUM('Inventory Data'!J5:J29),0)</f>
        <v/>
      </c>
      <c r="D6" s="31">
        <f>MIN(100, MAX(0, C5*100))</f>
        <v/>
      </c>
    </row>
    <row r="7" ht="8" customHeight="1"/>
    <row r="8">
      <c r="B8" s="28" t="inlineStr">
        <is>
          <t xml:space="preserve">  MARGIN MIX  (Weight: 40%)</t>
        </is>
      </c>
    </row>
    <row r="9" ht="20" customHeight="1">
      <c r="B9" s="29" t="inlineStr">
        <is>
          <t>Average Gross Margin %  (Margin ÷ Price)</t>
        </is>
      </c>
      <c r="C9" s="30">
        <f>IF(SUM('Inventory Data'!F5:F29)&gt;0,SUMPRODUCT(('Inventory Data'!F5:F29-'Inventory Data'!E5:E29)*'Inventory Data'!J5:J29)/SUMPRODUCT('Inventory Data'!F5:F29*'Inventory Data'!J5:J29),0)</f>
        <v/>
      </c>
      <c r="D9" s="31">
        <f>MIN(100, MAX(0, C8*150))</f>
        <v/>
      </c>
    </row>
    <row r="10" ht="20" customHeight="1">
      <c r="B10" s="29" t="inlineStr">
        <is>
          <t>% SKUs NOT flagged as Cash Traps</t>
        </is>
      </c>
      <c r="C10" s="30">
        <f>IF(COUNTA('Inventory Data'!E5:E29)&gt;0,COUNTIF('Inventory Data'!M5:M29,"✅ FUNDED")/COUNTA('Inventory Data'!E5:E29),0)</f>
        <v/>
      </c>
      <c r="D10" s="31">
        <f>MIN(100, MAX(0, C9*100))</f>
        <v/>
      </c>
    </row>
    <row r="11" ht="8" customHeight="1"/>
    <row r="12">
      <c r="B12" s="28" t="inlineStr">
        <is>
          <t xml:space="preserve">  SUPPLY RELIABILITY  (Weight: 20% — manual inputs below)</t>
        </is>
      </c>
    </row>
    <row r="13" ht="20" customHeight="1">
      <c r="B13" s="32" t="inlineStr">
        <is>
          <t>Supplier On-Time Delivery Rate (estimate, 0–100)</t>
        </is>
      </c>
      <c r="C13" s="33" t="n">
        <v>70</v>
      </c>
      <c r="D13" s="34">
        <f>C13</f>
        <v/>
      </c>
    </row>
    <row r="14" ht="20" customHeight="1">
      <c r="B14" s="32" t="inlineStr">
        <is>
          <t>Demand Trend Score  (0=declining, 50=stable, 100=growing)</t>
        </is>
      </c>
      <c r="C14" s="33" t="n">
        <v>60</v>
      </c>
      <c r="D14" s="34">
        <f>C14</f>
        <v/>
      </c>
    </row>
    <row r="15" ht="8" customHeight="1"/>
    <row r="16" ht="30" customHeight="1">
      <c r="B16" s="35" t="inlineStr">
        <is>
          <t>🐪  YOUR OPPORTUNITY SCORE (OS)  →  Upload to Business Play</t>
        </is>
      </c>
      <c r="D16" s="36">
        <f>ROUND(0.40*(D5+D6)/2 + 0.40*(D9+D10)/2 + 0.20*(D13+D14)/2, 1)</f>
        <v/>
      </c>
    </row>
    <row r="18">
      <c r="B18" s="37" t="inlineStr">
        <is>
          <t>OS Guide:  0–40 = Weak Opportunity 🔴  |  41–70 = Moderate 🟡  |  71–100 = Strong Opportunity 🟢</t>
        </is>
      </c>
    </row>
  </sheetData>
  <mergeCells count="6">
    <mergeCell ref="A1:D1"/>
    <mergeCell ref="B16:C16"/>
    <mergeCell ref="B8:D8"/>
    <mergeCell ref="B4:D4"/>
    <mergeCell ref="B12:D1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</cols>
  <sheetData>
    <row r="1" ht="36" customHeight="1">
      <c r="A1" s="4" t="inlineStr">
        <is>
          <t>🐪  Procurement Plan  |  Knapsack Optimization  |  Business Play</t>
        </is>
      </c>
    </row>
    <row r="2" ht="20" customHeight="1">
      <c r="B2" s="26" t="inlineStr">
        <is>
          <t>Ranked by Unit Margin (highest ROI first). Cash Traps excluded. Batched for cash flow.</t>
        </is>
      </c>
    </row>
    <row r="3" ht="22" customHeight="1">
      <c r="A3" s="12" t="inlineStr">
        <is>
          <t>#</t>
        </is>
      </c>
      <c r="B3" s="12" t="inlineStr">
        <is>
          <t>SKU</t>
        </is>
      </c>
      <c r="C3" s="12" t="inlineStr">
        <is>
          <t>Product Name</t>
        </is>
      </c>
      <c r="D3" s="12" t="inlineStr">
        <is>
          <t>Unit Margin</t>
        </is>
      </c>
      <c r="E3" s="12" t="inlineStr">
        <is>
          <t>ROI %</t>
        </is>
      </c>
      <c r="F3" s="12" t="inlineStr">
        <is>
          <t>Total Demand</t>
        </is>
      </c>
      <c r="G3" s="12" t="inlineStr">
        <is>
          <t>Batch 1 (Immediate)</t>
        </is>
      </c>
      <c r="H3" s="12" t="inlineStr">
        <is>
          <t>Batch 2 (Replenish)</t>
        </is>
      </c>
      <c r="I3" s="12" t="inlineStr">
        <is>
          <t>Status</t>
        </is>
      </c>
    </row>
    <row r="25" ht="40" customHeight="1">
      <c r="B25" s="38" t="inlineStr">
        <is>
          <t>📌  PROCUREMENT RULE: Rank all SKUs by Unit Margin (descending). Allocate budget top-down until cap is hit. Any SKU where Unit_Cost &gt; 10% of budget AND ROI &lt; 15% = 🚨 CASH TRAP (reject). Batch 1 = Jan Forecast qty (immediate). Batch 2 = Total – Jan (Feb replenish). Never let cash flow run dry. | Powered by Power Ladder Business Play</t>
        </is>
      </c>
    </row>
  </sheetData>
  <mergeCells count="3">
    <mergeCell ref="A1:I1"/>
    <mergeCell ref="B25:I25"/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2026-03-27T15:45:52Z</dcterms:created>
  <dcterms:modified xmlns:dcterms="http://purl.org/dc/terms/" xmlns:xsi="http://www.w3.org/2001/XMLSchema-instance" xsi:type="dcterms:W3CDTF">2026-03-27T15:45:52Z</dcterms:modified>
</cp:coreProperties>
</file>