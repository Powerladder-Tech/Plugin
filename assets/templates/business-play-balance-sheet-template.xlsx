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FRS Sc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-&quot;"/>
    <numFmt numFmtId="165" formatCode="#,##0.00;(#,##0.00);[Green]&quot;-&quot;"/>
    <numFmt numFmtId="166" formatCode="0.0"/>
    <numFmt numFmtId="167" formatCode="0.00x"/>
    <numFmt numFmtId="168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9A6E1A"/>
      <sz val="10"/>
    </font>
    <font>
      <name val="Arial"/>
      <color rgb="002D2D2D"/>
      <sz val="10"/>
    </font>
    <font>
      <name val="Arial"/>
      <b val="1"/>
      <color rgb="00FFFFFF"/>
      <sz val="13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2D2D2D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FFFFFF"/>
      <sz val="12"/>
    </font>
    <font>
      <name val="Arial"/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C8972A"/>
      </patternFill>
    </fill>
    <fill>
      <patternFill patternType="solid">
        <fgColor rgb="002D2D2D"/>
      </patternFill>
    </fill>
    <fill>
      <patternFill patternType="solid">
        <fgColor rgb="009A6E1A"/>
      </patternFill>
    </fill>
    <fill>
      <patternFill patternType="solid">
        <fgColor rgb="00FFF8E7"/>
      </patternFill>
    </fill>
    <fill>
      <patternFill patternType="solid">
        <fgColor rgb="00FFF0B3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165" fontId="9" fillId="9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center" vertical="center" wrapText="1"/>
    </xf>
    <xf numFmtId="168" fontId="10" fillId="5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166" fontId="12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40" customHeight="1">
      <c r="A1" s="1" t="inlineStr">
        <is>
          <t>⚖️  Business Play — Balance Sheet Template</t>
        </is>
      </c>
    </row>
    <row r="3" ht="18" customHeight="1">
      <c r="A3" s="2" t="inlineStr"/>
      <c r="B3" s="3" t="inlineStr"/>
    </row>
    <row r="4" ht="18" customHeight="1">
      <c r="A4" s="2" t="inlineStr">
        <is>
          <t>PURPOSE</t>
        </is>
      </c>
      <c r="B4" s="3" t="inlineStr">
        <is>
          <t>This template calculates your Financial Readiness Score (FRS) for the</t>
        </is>
      </c>
    </row>
    <row r="5" ht="18" customHeight="1">
      <c r="A5" s="2" t="inlineStr"/>
      <c r="B5" s="3" t="inlineStr">
        <is>
          <t>Golden Equilibrium framework — the foundation of your Business Play.</t>
        </is>
      </c>
    </row>
    <row r="6" ht="18" customHeight="1">
      <c r="A6" s="2" t="inlineStr"/>
      <c r="B6" s="3" t="inlineStr"/>
    </row>
    <row r="7" ht="18" customHeight="1">
      <c r="A7" s="2" t="inlineStr">
        <is>
          <t>HOW TO USE</t>
        </is>
      </c>
      <c r="B7" s="3" t="inlineStr">
        <is>
          <t>1.  Go to the 'Balance Sheet' tab</t>
        </is>
      </c>
    </row>
    <row r="8" ht="18" customHeight="1">
      <c r="A8" s="2" t="inlineStr"/>
      <c r="B8" s="3" t="inlineStr">
        <is>
          <t>2.  Enter your figures in the BLUE cells (most recent period)</t>
        </is>
      </c>
    </row>
    <row r="9" ht="18" customHeight="1">
      <c r="A9" s="2" t="inlineStr"/>
      <c r="B9" s="3" t="inlineStr">
        <is>
          <t>3.  Go to 'FRS Score' tab to see your Financial Readiness Score (0-100)</t>
        </is>
      </c>
    </row>
    <row r="10" ht="18" customHeight="1">
      <c r="A10" s="2" t="inlineStr"/>
      <c r="B10" s="3" t="inlineStr">
        <is>
          <t>4.  Upload this file to Business Play for automatic scoring</t>
        </is>
      </c>
    </row>
    <row r="11" ht="18" customHeight="1">
      <c r="A11" s="2" t="inlineStr"/>
      <c r="B11" s="3" t="inlineStr"/>
    </row>
    <row r="12" ht="18" customHeight="1">
      <c r="A12" s="2" t="inlineStr">
        <is>
          <t>COLOR CODE</t>
        </is>
      </c>
      <c r="B12" s="3" t="inlineStr">
        <is>
          <t>🔵 Blue text  = Enter your numbers here (hardcoded inputs)</t>
        </is>
      </c>
    </row>
    <row r="13" ht="18" customHeight="1">
      <c r="A13" s="2" t="inlineStr"/>
      <c r="B13" s="3" t="inlineStr">
        <is>
          <t>⚫ Black text = Auto-calculated formulas (do not edit)</t>
        </is>
      </c>
    </row>
    <row r="14" ht="18" customHeight="1">
      <c r="A14" s="2" t="inlineStr"/>
      <c r="B14" s="3" t="inlineStr">
        <is>
          <t>🟢 Green text = Values linked from another sheet</t>
        </is>
      </c>
    </row>
    <row r="15" ht="18" customHeight="1">
      <c r="A15" s="2" t="inlineStr"/>
      <c r="B15" s="3" t="inlineStr"/>
    </row>
    <row r="16" ht="18" customHeight="1">
      <c r="A16" s="2" t="inlineStr">
        <is>
          <t>CURRENCY</t>
        </is>
      </c>
      <c r="B16" s="3" t="inlineStr">
        <is>
          <t>Enter all amounts in your local currency (THB, USD, etc.)</t>
        </is>
      </c>
    </row>
    <row r="17" ht="18" customHeight="1">
      <c r="A17" s="2" t="inlineStr"/>
      <c r="B17" s="3" t="inlineStr">
        <is>
          <t>Be consistent — use the same currency throughout</t>
        </is>
      </c>
    </row>
    <row r="18" ht="18" customHeight="1">
      <c r="A18" s="2" t="inlineStr"/>
      <c r="B18" s="3" t="inlineStr"/>
    </row>
    <row r="19" ht="18" customHeight="1">
      <c r="A19" s="2" t="inlineStr">
        <is>
          <t>CONTACT</t>
        </is>
      </c>
      <c r="B19" s="3" t="inlineStr">
        <is>
          <t>Questions? Contact Power Ladder:</t>
        </is>
      </c>
    </row>
    <row r="20" ht="18" customHeight="1">
      <c r="A20" s="2" t="inlineStr"/>
      <c r="B20" s="3" t="inlineStr">
        <is>
          <t>📧 dithanon@powerladder.tech</t>
        </is>
      </c>
    </row>
    <row r="21" ht="18" customHeight="1">
      <c r="A21" s="2" t="inlineStr"/>
      <c r="B21" s="3" t="inlineStr">
        <is>
          <t>🌐 https://www.powerladder.net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0" customWidth="1" min="3" max="3"/>
    <col width="4" customWidth="1" min="4" max="4"/>
  </cols>
  <sheetData>
    <row r="1" ht="36" customHeight="1">
      <c r="A1" s="4" t="inlineStr">
        <is>
          <t>⚖️  Balance Sheet  |  Business Play by Power Ladder</t>
        </is>
      </c>
    </row>
    <row r="2" ht="16" customHeight="1">
      <c r="B2" s="5" t="inlineStr">
        <is>
          <t>Enter your figures in BLUE cells • Auto-calculations in BLACK</t>
        </is>
      </c>
    </row>
    <row r="3" ht="22" customHeight="1">
      <c r="B3" s="6" t="inlineStr">
        <is>
          <t>Item</t>
        </is>
      </c>
      <c r="C3" s="6" t="inlineStr">
        <is>
          <t>Amount (Local Currency)</t>
        </is>
      </c>
    </row>
    <row r="4" ht="8" customHeight="1"/>
    <row r="5" ht="18" customHeight="1">
      <c r="B5" s="7" t="inlineStr">
        <is>
          <t xml:space="preserve">  CURRENT ASSETS</t>
        </is>
      </c>
    </row>
    <row r="6" ht="18" customHeight="1">
      <c r="B6" s="8" t="inlineStr">
        <is>
          <t>Cash &amp; Cash Equivalents</t>
        </is>
      </c>
      <c r="C6" s="9" t="n"/>
    </row>
    <row r="7" ht="18" customHeight="1">
      <c r="B7" s="8" t="inlineStr">
        <is>
          <t>Accounts Receivable (Net)</t>
        </is>
      </c>
      <c r="C7" s="9" t="n"/>
    </row>
    <row r="8" ht="18" customHeight="1">
      <c r="B8" s="8" t="inlineStr">
        <is>
          <t>Inventory (Net)</t>
        </is>
      </c>
      <c r="C8" s="9" t="n"/>
    </row>
    <row r="9" ht="18" customHeight="1">
      <c r="B9" s="8" t="inlineStr">
        <is>
          <t>Prepaid Expenses &amp; Other Current Assets</t>
        </is>
      </c>
      <c r="C9" s="9" t="n"/>
    </row>
    <row r="10" ht="18" customHeight="1">
      <c r="B10" s="10" t="inlineStr">
        <is>
          <t>Total Current Assets</t>
        </is>
      </c>
      <c r="C10" s="11">
        <f>SUM(C6:C9)</f>
        <v/>
      </c>
    </row>
    <row r="11" ht="8" customHeight="1"/>
    <row r="12" ht="18" customHeight="1">
      <c r="B12" s="7" t="inlineStr">
        <is>
          <t xml:space="preserve">  NON-CURRENT ASSETS</t>
        </is>
      </c>
    </row>
    <row r="13" ht="18" customHeight="1">
      <c r="B13" s="8" t="inlineStr">
        <is>
          <t>Property, Plant &amp; Equipment (Net)</t>
        </is>
      </c>
      <c r="C13" s="9" t="n"/>
    </row>
    <row r="14" ht="18" customHeight="1">
      <c r="B14" s="8" t="inlineStr">
        <is>
          <t>Intangible Assets &amp; Goodwill</t>
        </is>
      </c>
      <c r="C14" s="9" t="n"/>
    </row>
    <row r="15" ht="18" customHeight="1">
      <c r="B15" s="8" t="inlineStr">
        <is>
          <t>Other Non-Current Assets</t>
        </is>
      </c>
      <c r="C15" s="9" t="n"/>
    </row>
    <row r="16" ht="18" customHeight="1">
      <c r="B16" s="10" t="inlineStr">
        <is>
          <t>Total Non-Current Assets</t>
        </is>
      </c>
      <c r="C16" s="11">
        <f>SUM(C13:C15)</f>
        <v/>
      </c>
    </row>
    <row r="17" ht="8" customHeight="1"/>
    <row r="18" ht="18" customHeight="1">
      <c r="B18" s="12" t="inlineStr">
        <is>
          <t>TOTAL ASSETS</t>
        </is>
      </c>
      <c r="C18" s="13">
        <f>C10+C16</f>
        <v/>
      </c>
    </row>
    <row r="19" ht="8" customHeight="1"/>
    <row r="20" ht="18" customHeight="1">
      <c r="B20" s="7" t="inlineStr">
        <is>
          <t xml:space="preserve">  CURRENT LIABILITIES</t>
        </is>
      </c>
    </row>
    <row r="21" ht="18" customHeight="1">
      <c r="B21" s="8" t="inlineStr">
        <is>
          <t>Accounts Payable</t>
        </is>
      </c>
      <c r="C21" s="9" t="n"/>
    </row>
    <row r="22" ht="18" customHeight="1">
      <c r="B22" s="8" t="inlineStr">
        <is>
          <t>Short-Term Debt &amp; Current Portion of LTD</t>
        </is>
      </c>
      <c r="C22" s="9" t="n"/>
    </row>
    <row r="23" ht="18" customHeight="1">
      <c r="B23" s="8" t="inlineStr">
        <is>
          <t>Accrued Expenses &amp; Other Current Liabilities</t>
        </is>
      </c>
      <c r="C23" s="9" t="n"/>
    </row>
    <row r="24" ht="18" customHeight="1">
      <c r="B24" s="14" t="inlineStr">
        <is>
          <t>Total Current Liabilities</t>
        </is>
      </c>
      <c r="C24" s="15">
        <f>SUM(C21:C23)</f>
        <v/>
      </c>
    </row>
    <row r="25" ht="8" customHeight="1"/>
    <row r="26" ht="18" customHeight="1">
      <c r="B26" s="7" t="inlineStr">
        <is>
          <t xml:space="preserve">  NON-CURRENT LIABILITIES</t>
        </is>
      </c>
    </row>
    <row r="27" ht="18" customHeight="1">
      <c r="B27" s="8" t="inlineStr">
        <is>
          <t>Long-Term Debt</t>
        </is>
      </c>
      <c r="C27" s="9" t="n"/>
    </row>
    <row r="28" ht="18" customHeight="1">
      <c r="B28" s="8" t="inlineStr">
        <is>
          <t>Deferred Tax Liabilities</t>
        </is>
      </c>
      <c r="C28" s="9" t="n"/>
    </row>
    <row r="29" ht="18" customHeight="1">
      <c r="B29" s="8" t="inlineStr">
        <is>
          <t>Other Non-Current Liabilities</t>
        </is>
      </c>
      <c r="C29" s="9" t="n"/>
    </row>
    <row r="30" ht="18" customHeight="1">
      <c r="B30" s="14" t="inlineStr">
        <is>
          <t>Total Non-Current Liabilities</t>
        </is>
      </c>
      <c r="C30" s="15">
        <f>SUM(C27:C29)</f>
        <v/>
      </c>
    </row>
    <row r="31" ht="8" customHeight="1"/>
    <row r="32" ht="18" customHeight="1">
      <c r="B32" s="16" t="inlineStr">
        <is>
          <t>TOTAL LIABILITIES</t>
        </is>
      </c>
      <c r="C32" s="17">
        <f>C24+C30</f>
        <v/>
      </c>
    </row>
    <row r="33" ht="8" customHeight="1"/>
    <row r="34" ht="18" customHeight="1">
      <c r="B34" s="7" t="inlineStr">
        <is>
          <t xml:space="preserve">  SHAREHOLDERS' EQUITY</t>
        </is>
      </c>
    </row>
    <row r="35" ht="18" customHeight="1">
      <c r="B35" s="8" t="inlineStr">
        <is>
          <t>Paid-In Capital / Share Capital</t>
        </is>
      </c>
      <c r="C35" s="9" t="n"/>
    </row>
    <row r="36" ht="18" customHeight="1">
      <c r="B36" s="8" t="inlineStr">
        <is>
          <t>Retained Earnings</t>
        </is>
      </c>
      <c r="C36" s="9" t="n"/>
    </row>
    <row r="37" ht="18" customHeight="1">
      <c r="B37" s="8" t="inlineStr">
        <is>
          <t>Other Equity Components</t>
        </is>
      </c>
      <c r="C37" s="9" t="n"/>
    </row>
    <row r="38" ht="18" customHeight="1">
      <c r="B38" s="16" t="inlineStr">
        <is>
          <t>TOTAL EQUITY</t>
        </is>
      </c>
      <c r="C38" s="17">
        <f>SUM(C35:C37)</f>
        <v/>
      </c>
    </row>
    <row r="39" ht="8" customHeight="1"/>
    <row r="40" ht="18" customHeight="1">
      <c r="B40" s="18" t="inlineStr">
        <is>
          <t>CHECK: Total Assets = Total Liabilities + Equity</t>
        </is>
      </c>
      <c r="C40" s="19">
        <f>C18-C32-C38</f>
        <v/>
      </c>
    </row>
  </sheetData>
  <mergeCells count="7">
    <mergeCell ref="A1:D1"/>
    <mergeCell ref="B5:C5"/>
    <mergeCell ref="B20:C20"/>
    <mergeCell ref="B34:C34"/>
    <mergeCell ref="B26:C26"/>
    <mergeCell ref="B2:D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20" customWidth="1" min="4" max="4"/>
    <col width="4" customWidth="1" min="5" max="5"/>
  </cols>
  <sheetData>
    <row r="1" ht="36" customHeight="1">
      <c r="A1" s="4" t="inlineStr">
        <is>
          <t>⚖️  Financial Readiness Score (FRS)  |  Golden Equilibrium</t>
        </is>
      </c>
    </row>
    <row r="2" ht="20" customHeight="1">
      <c r="B2" s="5" t="inlineStr">
        <is>
          <t>FRS measures your capacity to carry inventory without endangering cash flow (0 = extreme risk, 100 = very safe)</t>
        </is>
      </c>
    </row>
    <row r="3" ht="22" customHeight="1">
      <c r="B3" s="6" t="inlineStr">
        <is>
          <t>Metric</t>
        </is>
      </c>
      <c r="C3" s="6" t="inlineStr">
        <is>
          <t>Value</t>
        </is>
      </c>
      <c r="D3" s="6" t="inlineStr">
        <is>
          <t>FRS Component (0-100)</t>
        </is>
      </c>
    </row>
    <row r="4" ht="18" customHeight="1">
      <c r="B4" s="7" t="inlineStr">
        <is>
          <t xml:space="preserve">  LIQUIDITY RATIOS  (Weight: 40%)</t>
        </is>
      </c>
    </row>
    <row r="5" ht="20" customHeight="1">
      <c r="B5" s="8" t="inlineStr">
        <is>
          <t>Current Ratio  (Current Assets ÷ Current Liabilities)</t>
        </is>
      </c>
      <c r="C5" s="20">
        <f>IF('Balance Sheet'!C10&lt;&gt;0,'Balance Sheet'!C10/'Balance Sheet'!C24,0)</f>
        <v/>
      </c>
      <c r="D5" s="21">
        <f>MIN(100, MAX(0, (C5-1)*33.33))</f>
        <v/>
      </c>
    </row>
    <row r="6" ht="20" customHeight="1">
      <c r="B6" s="8" t="inlineStr">
        <is>
          <t>Quick Ratio  ((Cash + Receivables) ÷ Current Liabilities)</t>
        </is>
      </c>
      <c r="C6" s="20">
        <f>IF('Balance Sheet'!C24&lt;&gt;0,('Balance Sheet'!C6+'Balance Sheet'!C7)/'Balance Sheet'!C24,0)</f>
        <v/>
      </c>
      <c r="D6" s="21">
        <f>MIN(100, MAX(0, C6*50))</f>
        <v/>
      </c>
    </row>
    <row r="7" ht="8" customHeight="1"/>
    <row r="8" ht="18" customHeight="1">
      <c r="B8" s="7" t="inlineStr">
        <is>
          <t xml:space="preserve">  LEVERAGE RATIOS  (Weight: 30%)</t>
        </is>
      </c>
    </row>
    <row r="9" ht="20" customHeight="1">
      <c r="B9" s="8" t="inlineStr">
        <is>
          <t>Debt-to-Equity Ratio  (Total Liabilities ÷ Total Equity)</t>
        </is>
      </c>
      <c r="C9" s="20">
        <f>IF('Balance Sheet'!C38&lt;&gt;0,'Balance Sheet'!C32/'Balance Sheet'!C38,999)</f>
        <v/>
      </c>
      <c r="D9" s="21">
        <f>MIN(100, MAX(0, (3-C9)*25))</f>
        <v/>
      </c>
    </row>
    <row r="10" ht="20" customHeight="1">
      <c r="B10" s="8" t="inlineStr">
        <is>
          <t>Working Capital % of Total Assets</t>
        </is>
      </c>
      <c r="C10" s="22">
        <f>IF('Balance Sheet'!C18&lt;&gt;0,('Balance Sheet'!C10-'Balance Sheet'!C24)/'Balance Sheet'!C18,0)</f>
        <v/>
      </c>
      <c r="D10" s="21">
        <f>MIN(100, MAX(0, C10*200))</f>
        <v/>
      </c>
    </row>
    <row r="11" ht="8" customHeight="1"/>
    <row r="12" ht="18" customHeight="1">
      <c r="B12" s="7" t="inlineStr">
        <is>
          <t xml:space="preserve">  CASH POSITION  (Weight: 30%)</t>
        </is>
      </c>
    </row>
    <row r="13" ht="20" customHeight="1">
      <c r="B13" s="8" t="inlineStr">
        <is>
          <t>Cash % of Total Assets</t>
        </is>
      </c>
      <c r="C13" s="22">
        <f>IF('Balance Sheet'!C18&lt;&gt;0,'Balance Sheet'!C6/'Balance Sheet'!C18,0)</f>
        <v/>
      </c>
      <c r="D13" s="21">
        <f>MIN(100, MAX(0, C13*300))</f>
        <v/>
      </c>
    </row>
    <row r="14" ht="20" customHeight="1">
      <c r="B14" s="8" t="inlineStr">
        <is>
          <t>Inventory % of Current Assets  (lower = better liquidity)</t>
        </is>
      </c>
      <c r="C14" s="22">
        <f>IF('Balance Sheet'!C10&lt;&gt;0,'Balance Sheet'!C8/'Balance Sheet'!C10,0)</f>
        <v/>
      </c>
      <c r="D14" s="21">
        <f>MIN(100, MAX(0, (1-C14)*100))</f>
        <v/>
      </c>
    </row>
    <row r="15" ht="8" customHeight="1"/>
    <row r="16" ht="30" customHeight="1">
      <c r="B16" s="23" t="inlineStr">
        <is>
          <t>🐪  YOUR FINANCIAL RISK SCORE (FRS)  →  Upload to Business Play</t>
        </is>
      </c>
      <c r="D16" s="24">
        <f>ROUND(0.40*(D5+D6)/2 + 0.30*(D9+D10)/2 + 0.30*(D13+D14)/2, 1)</f>
        <v/>
      </c>
    </row>
    <row r="18" ht="14" customHeight="1">
      <c r="B18" s="25" t="inlineStr">
        <is>
          <t>FRS Guide:  0–40 = High Risk 🔴  |  41–70 = Moderate Risk 🟡  |  71–100 = Low Risk 🟢</t>
        </is>
      </c>
    </row>
  </sheetData>
  <mergeCells count="6">
    <mergeCell ref="A1:D1"/>
    <mergeCell ref="B16:C16"/>
    <mergeCell ref="B8:D8"/>
    <mergeCell ref="B4:D4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2026-03-27T15:45:52Z</dcterms:created>
  <dcterms:modified xmlns:dcterms="http://purl.org/dc/terms/" xmlns:xsi="http://www.w3.org/2001/XMLSchema-instance" xsi:type="dcterms:W3CDTF">2026-03-27T15:45:52Z</dcterms:modified>
</cp:coreProperties>
</file>